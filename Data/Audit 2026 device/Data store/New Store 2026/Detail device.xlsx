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2" documentId="11_517B75510999F3541B48D8745FDE9573B05A50CF" xr6:coauthVersionLast="47" xr6:coauthVersionMax="47" xr10:uidLastSave="{FF5DA893-5178-4E2D-9E95-22F04D82A46B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i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3" i="2" l="1"/>
  <c r="H32" i="2"/>
  <c r="I32" i="2" s="1"/>
  <c r="H15" i="2"/>
  <c r="I15" i="2" s="1"/>
  <c r="H14" i="2"/>
  <c r="I14" i="2" s="1"/>
  <c r="H13" i="2"/>
  <c r="I13" i="2" s="1"/>
  <c r="H12" i="2"/>
  <c r="I12" i="2" s="1"/>
  <c r="H11" i="2"/>
  <c r="I11" i="2" s="1"/>
  <c r="H10" i="2"/>
  <c r="I10" i="2" s="1"/>
  <c r="H9" i="2"/>
  <c r="I9" i="2" s="1"/>
  <c r="H8" i="2"/>
  <c r="I8" i="2" s="1"/>
  <c r="H7" i="2"/>
  <c r="I7" i="2" s="1"/>
  <c r="H6" i="2"/>
  <c r="I6" i="2" s="1"/>
  <c r="H5" i="2"/>
  <c r="I5" i="2" s="1"/>
  <c r="H4" i="2"/>
  <c r="I4" i="2" s="1"/>
  <c r="H3" i="2"/>
  <c r="I3" i="2" s="1"/>
  <c r="H2" i="2"/>
  <c r="H33" i="2" l="1"/>
  <c r="I2" i="2"/>
  <c r="I33" i="2" s="1"/>
</calcChain>
</file>

<file path=xl/sharedStrings.xml><?xml version="1.0" encoding="utf-8"?>
<sst xmlns="http://schemas.openxmlformats.org/spreadsheetml/2006/main" count="131" uniqueCount="75">
  <si>
    <t>No.</t>
  </si>
  <si>
    <t>Category</t>
  </si>
  <si>
    <t>Hardware Type</t>
  </si>
  <si>
    <t>Model</t>
  </si>
  <si>
    <t xml:space="preserve">Qty </t>
  </si>
  <si>
    <t>S/N</t>
  </si>
  <si>
    <t>Price without VAT</t>
  </si>
  <si>
    <t>VAT 8%</t>
  </si>
  <si>
    <t>Total</t>
  </si>
  <si>
    <t>POS</t>
  </si>
  <si>
    <t>Mini Pc</t>
  </si>
  <si>
    <t>HP Prodesk 400 G7</t>
  </si>
  <si>
    <t>8CC33807N6</t>
  </si>
  <si>
    <t>8CC33807NS</t>
  </si>
  <si>
    <t>Network</t>
  </si>
  <si>
    <t>Switch</t>
  </si>
  <si>
    <t>Switch Ubiquiti UniFi Switch 24 PoE (USW-24-PoE)</t>
  </si>
  <si>
    <t>5861F887469</t>
  </si>
  <si>
    <t xml:space="preserve">Cisco CBS110-16T-EU </t>
  </si>
  <si>
    <t>KWC294003EG</t>
  </si>
  <si>
    <t>Access Point</t>
  </si>
  <si>
    <t>Unibiti UAP nanohd wifi</t>
  </si>
  <si>
    <t>9041B204B634</t>
  </si>
  <si>
    <t>A89C6CD23F84</t>
  </si>
  <si>
    <t xml:space="preserve">PDT </t>
  </si>
  <si>
    <t>Zebra TC27</t>
  </si>
  <si>
    <t>S26023524700851</t>
  </si>
  <si>
    <t>S26023524701186</t>
  </si>
  <si>
    <t>S26023524701058</t>
  </si>
  <si>
    <t>S26024524700326</t>
  </si>
  <si>
    <t>S26024524700308</t>
  </si>
  <si>
    <t>PDT printer</t>
  </si>
  <si>
    <t>Zebra ZQ210</t>
  </si>
  <si>
    <t>XXZTN261200011</t>
  </si>
  <si>
    <t>XXZTN261200006</t>
  </si>
  <si>
    <t>PC Workstation</t>
  </si>
  <si>
    <t>Máy tính trạm Dell Precision 3680 Tower</t>
  </si>
  <si>
    <t>JVX97G4</t>
  </si>
  <si>
    <t>Monitor</t>
  </si>
  <si>
    <t>Monitor HP V190</t>
  </si>
  <si>
    <t>1CR82307CY</t>
  </si>
  <si>
    <t>1CR82307D4</t>
  </si>
  <si>
    <t>Monitor HP V22</t>
  </si>
  <si>
    <t>CN41383K50</t>
  </si>
  <si>
    <t xml:space="preserve">Keyboard </t>
  </si>
  <si>
    <t xml:space="preserve">Mouse </t>
  </si>
  <si>
    <t>Cash Drawer</t>
  </si>
  <si>
    <t>Poscom 410</t>
  </si>
  <si>
    <t>20201130015</t>
  </si>
  <si>
    <t>2020092533</t>
  </si>
  <si>
    <t>Pole Display</t>
  </si>
  <si>
    <t>D190928010055</t>
  </si>
  <si>
    <t>D190928010054</t>
  </si>
  <si>
    <t>Scanner</t>
  </si>
  <si>
    <t>Scanner Wireless DS2278</t>
  </si>
  <si>
    <t>22136523423466</t>
  </si>
  <si>
    <t>22007523408905</t>
  </si>
  <si>
    <t>Bill printer</t>
  </si>
  <si>
    <t>Printer Cashier - Thermal Star printer MCP31L, USB</t>
  </si>
  <si>
    <t>2580022120601400</t>
  </si>
  <si>
    <t>Epson TM-82III</t>
  </si>
  <si>
    <t>X7BA014973</t>
  </si>
  <si>
    <t>Back-end</t>
  </si>
  <si>
    <t>A4 Printer</t>
  </si>
  <si>
    <t>HP Laserjet pro M15w</t>
  </si>
  <si>
    <t>VNC3K04690</t>
  </si>
  <si>
    <t>Mpos</t>
  </si>
  <si>
    <t>HP EngageGo10 Mobile tablet (i5 8Gb with scanner)</t>
  </si>
  <si>
    <t>5CG3350NKC</t>
  </si>
  <si>
    <t>Printer for Mpos</t>
  </si>
  <si>
    <t>mPOS Printer Star SM­T300i2-DB50</t>
  </si>
  <si>
    <t>4951319256007</t>
  </si>
  <si>
    <t>Firewall</t>
  </si>
  <si>
    <t>Fortigate FG-60F - 3  Year UTP license</t>
  </si>
  <si>
    <t>FGT60FTK25056910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</si>
</sst>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VND]\ * #,##0_);_([$VND]\ * \(#,##0\);_([$VND]\ * &quot;-&quot;_);_(@_)"/>
  </numFmts>
  <fonts count="6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164" fontId="0" fillId="2" borderId="3" xfId="0" applyNumberFormat="1" applyFill="1" applyBorder="1"/>
    <xf numFmtId="0" fontId="0" fillId="2" borderId="3" xfId="0" applyFill="1" applyBorder="1"/>
    <xf numFmtId="0" fontId="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3" xfId="0" applyFont="1" applyBorder="1" applyAlignment="1">
      <alignment vertical="top"/>
    </xf>
    <xf numFmtId="0" fontId="0" fillId="0" borderId="1" xfId="0" applyBorder="1" applyAlignment="1">
      <alignment horizontal="left" vertical="top"/>
    </xf>
    <xf numFmtId="49" fontId="3" fillId="0" borderId="2" xfId="0" applyNumberFormat="1" applyFont="1" applyBorder="1" applyAlignment="1">
      <alignment horizontal="left" vertical="top" wrapText="1"/>
    </xf>
    <xf numFmtId="164" fontId="0" fillId="0" borderId="3" xfId="0" applyNumberFormat="1" applyBorder="1"/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49" fontId="3" fillId="0" borderId="2" xfId="0" applyNumberFormat="1" applyFont="1" applyBorder="1" applyAlignment="1">
      <alignment horizontal="left" vertical="top"/>
    </xf>
    <xf numFmtId="0" fontId="0" fillId="0" borderId="2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164" fontId="0" fillId="0" borderId="6" xfId="0" applyNumberFormat="1" applyBorder="1"/>
    <xf numFmtId="0" fontId="3" fillId="0" borderId="7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49" fontId="3" fillId="0" borderId="3" xfId="0" applyNumberFormat="1" applyFont="1" applyBorder="1" applyAlignment="1">
      <alignment horizontal="left" vertical="top"/>
    </xf>
    <xf numFmtId="164" fontId="0" fillId="0" borderId="8" xfId="0" applyNumberFormat="1" applyBorder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49" fontId="3" fillId="0" borderId="9" xfId="0" applyNumberFormat="1" applyFont="1" applyBorder="1" applyAlignment="1">
      <alignment horizontal="left" vertical="top" wrapText="1"/>
    </xf>
    <xf numFmtId="0" fontId="0" fillId="0" borderId="4" xfId="0" applyBorder="1"/>
    <xf numFmtId="0" fontId="0" fillId="0" borderId="3" xfId="0" applyBorder="1"/>
    <xf numFmtId="0" fontId="5" fillId="3" borderId="1" xfId="0" applyFont="1" applyFill="1" applyBorder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FD268-C214-44FD-9BE9-68B2412E8DA6}">
  <sheetPr>
    <tabColor rgb="FFFFFF00"/>
  </sheetPr>
  <dimension ref="A1:K33"/>
  <sheetViews>
    <sheetView tabSelected="1" topLeftCell="A7" zoomScale="85" zoomScaleNormal="85" workbookViewId="0">
      <selection activeCell="G21" sqref="G21"/>
    </sheetView>
  </sheetViews>
  <sheetFormatPr defaultRowHeight="15"/>
  <cols>
    <col min="1" max="1" width="4.140625" bestFit="1" customWidth="1"/>
    <col min="2" max="2" width="8.7109375" bestFit="1" customWidth="1"/>
    <col min="3" max="3" width="19.5703125" customWidth="1"/>
    <col min="4" max="4" width="52.5703125" customWidth="1"/>
    <col min="5" max="5" width="4.7109375" bestFit="1" customWidth="1"/>
    <col min="6" max="6" width="26.28515625" style="28" bestFit="1" customWidth="1"/>
    <col min="7" max="7" width="30.85546875" customWidth="1"/>
    <col min="8" max="9" width="19.8554687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5" t="s">
        <v>8</v>
      </c>
    </row>
    <row r="2" spans="1:11">
      <c r="A2" s="6">
        <v>1</v>
      </c>
      <c r="B2" s="7" t="s">
        <v>9</v>
      </c>
      <c r="C2" s="8" t="s">
        <v>10</v>
      </c>
      <c r="D2" s="9" t="s">
        <v>11</v>
      </c>
      <c r="E2" s="6">
        <v>1</v>
      </c>
      <c r="F2" s="10" t="s">
        <v>12</v>
      </c>
      <c r="G2" s="11">
        <v>18518519</v>
      </c>
      <c r="H2" s="11">
        <f>G2*8%</f>
        <v>1481481.52</v>
      </c>
      <c r="I2" s="11">
        <f>G2+H2</f>
        <v>20000000.52</v>
      </c>
      <c r="K2" s="12"/>
    </row>
    <row r="3" spans="1:11">
      <c r="A3" s="6">
        <v>2</v>
      </c>
      <c r="B3" s="7" t="s">
        <v>9</v>
      </c>
      <c r="C3" s="8" t="s">
        <v>10</v>
      </c>
      <c r="D3" s="9" t="s">
        <v>11</v>
      </c>
      <c r="E3" s="6">
        <v>1</v>
      </c>
      <c r="F3" s="10" t="s">
        <v>13</v>
      </c>
      <c r="G3" s="11">
        <v>18518519</v>
      </c>
      <c r="H3" s="11">
        <f>G3*8%</f>
        <v>1481481.52</v>
      </c>
      <c r="I3" s="11">
        <f>G3+H3</f>
        <v>20000000.52</v>
      </c>
      <c r="K3" s="13"/>
    </row>
    <row r="4" spans="1:11">
      <c r="A4" s="6">
        <v>3</v>
      </c>
      <c r="B4" s="6" t="s">
        <v>14</v>
      </c>
      <c r="C4" s="8" t="s">
        <v>15</v>
      </c>
      <c r="D4" s="6" t="s">
        <v>16</v>
      </c>
      <c r="E4" s="6">
        <v>1</v>
      </c>
      <c r="F4" s="14" t="s">
        <v>17</v>
      </c>
      <c r="G4" s="11">
        <v>13700000</v>
      </c>
      <c r="H4" s="11">
        <f>G4*8%</f>
        <v>1096000</v>
      </c>
      <c r="I4" s="11">
        <f>G4+H4</f>
        <v>14796000</v>
      </c>
    </row>
    <row r="5" spans="1:11">
      <c r="A5" s="6">
        <v>4</v>
      </c>
      <c r="B5" s="6" t="s">
        <v>14</v>
      </c>
      <c r="C5" s="8" t="s">
        <v>15</v>
      </c>
      <c r="D5" s="6" t="s">
        <v>18</v>
      </c>
      <c r="E5" s="6">
        <v>1</v>
      </c>
      <c r="F5" s="14" t="s">
        <v>19</v>
      </c>
      <c r="G5" s="11">
        <v>3800000</v>
      </c>
      <c r="H5" s="11">
        <f>G5*8%</f>
        <v>304000</v>
      </c>
      <c r="I5" s="11">
        <f>G5+H5</f>
        <v>4104000</v>
      </c>
    </row>
    <row r="6" spans="1:11">
      <c r="A6" s="6">
        <v>6</v>
      </c>
      <c r="B6" s="6" t="s">
        <v>14</v>
      </c>
      <c r="C6" s="7" t="s">
        <v>20</v>
      </c>
      <c r="D6" s="6" t="s">
        <v>21</v>
      </c>
      <c r="E6" s="6">
        <v>1</v>
      </c>
      <c r="F6" s="10" t="s">
        <v>22</v>
      </c>
      <c r="G6" s="11">
        <v>4300000</v>
      </c>
      <c r="H6" s="11">
        <f>G6*8%</f>
        <v>344000</v>
      </c>
      <c r="I6" s="11">
        <f>G6+H6</f>
        <v>4644000</v>
      </c>
    </row>
    <row r="7" spans="1:11">
      <c r="A7" s="6">
        <v>7</v>
      </c>
      <c r="B7" s="6" t="s">
        <v>14</v>
      </c>
      <c r="C7" s="7" t="s">
        <v>20</v>
      </c>
      <c r="D7" s="6" t="s">
        <v>21</v>
      </c>
      <c r="E7" s="6">
        <v>1</v>
      </c>
      <c r="F7" s="10" t="s">
        <v>23</v>
      </c>
      <c r="G7" s="11">
        <v>4300000</v>
      </c>
      <c r="H7" s="11">
        <f>G7*8%</f>
        <v>344000</v>
      </c>
      <c r="I7" s="11">
        <f>G7+H7</f>
        <v>4644000</v>
      </c>
    </row>
    <row r="8" spans="1:11">
      <c r="A8" s="6">
        <v>8</v>
      </c>
      <c r="B8" s="6" t="s">
        <v>24</v>
      </c>
      <c r="C8" s="6" t="s">
        <v>24</v>
      </c>
      <c r="D8" s="6" t="s">
        <v>25</v>
      </c>
      <c r="E8" s="6">
        <v>1</v>
      </c>
      <c r="F8" s="10" t="s">
        <v>26</v>
      </c>
      <c r="G8" s="11">
        <v>14980000</v>
      </c>
      <c r="H8" s="11">
        <f>G8*8%</f>
        <v>1198400</v>
      </c>
      <c r="I8" s="11">
        <f>G8+H8</f>
        <v>16178400</v>
      </c>
    </row>
    <row r="9" spans="1:11">
      <c r="A9" s="6">
        <v>9</v>
      </c>
      <c r="B9" s="6" t="s">
        <v>24</v>
      </c>
      <c r="C9" s="6" t="s">
        <v>24</v>
      </c>
      <c r="D9" s="6" t="s">
        <v>25</v>
      </c>
      <c r="E9" s="6">
        <v>1</v>
      </c>
      <c r="F9" s="10" t="s">
        <v>27</v>
      </c>
      <c r="G9" s="11">
        <v>14980000</v>
      </c>
      <c r="H9" s="11">
        <f>G9*8%</f>
        <v>1198400</v>
      </c>
      <c r="I9" s="11">
        <f>G9+H9</f>
        <v>16178400</v>
      </c>
    </row>
    <row r="10" spans="1:11">
      <c r="A10" s="6">
        <v>10</v>
      </c>
      <c r="B10" s="6" t="s">
        <v>24</v>
      </c>
      <c r="C10" s="6" t="s">
        <v>24</v>
      </c>
      <c r="D10" s="6" t="s">
        <v>25</v>
      </c>
      <c r="E10" s="6">
        <v>1</v>
      </c>
      <c r="F10" s="10" t="s">
        <v>28</v>
      </c>
      <c r="G10" s="11">
        <v>14980000</v>
      </c>
      <c r="H10" s="11">
        <f>G10*8%</f>
        <v>1198400</v>
      </c>
      <c r="I10" s="11">
        <f>G10+H10</f>
        <v>16178400</v>
      </c>
    </row>
    <row r="11" spans="1:11">
      <c r="A11" s="6">
        <v>11</v>
      </c>
      <c r="B11" s="6" t="s">
        <v>24</v>
      </c>
      <c r="C11" s="6" t="s">
        <v>24</v>
      </c>
      <c r="D11" s="6" t="s">
        <v>25</v>
      </c>
      <c r="E11" s="6">
        <v>1</v>
      </c>
      <c r="F11" s="10" t="s">
        <v>29</v>
      </c>
      <c r="G11" s="11">
        <v>14980000</v>
      </c>
      <c r="H11" s="11">
        <f>G11*8%</f>
        <v>1198400</v>
      </c>
      <c r="I11" s="11">
        <f>G11+H11</f>
        <v>16178400</v>
      </c>
    </row>
    <row r="12" spans="1:11">
      <c r="A12" s="6">
        <v>12</v>
      </c>
      <c r="B12" s="6" t="s">
        <v>24</v>
      </c>
      <c r="C12" s="6" t="s">
        <v>24</v>
      </c>
      <c r="D12" s="6" t="s">
        <v>25</v>
      </c>
      <c r="E12" s="6">
        <v>1</v>
      </c>
      <c r="F12" s="10" t="s">
        <v>30</v>
      </c>
      <c r="G12" s="11">
        <v>14980000</v>
      </c>
      <c r="H12" s="11">
        <f>G12*8%</f>
        <v>1198400</v>
      </c>
      <c r="I12" s="11">
        <f>G12+H12</f>
        <v>16178400</v>
      </c>
    </row>
    <row r="13" spans="1:11">
      <c r="A13" s="6">
        <v>13</v>
      </c>
      <c r="B13" s="6" t="s">
        <v>24</v>
      </c>
      <c r="C13" s="6" t="s">
        <v>31</v>
      </c>
      <c r="D13" s="6" t="s">
        <v>32</v>
      </c>
      <c r="E13" s="6">
        <v>1</v>
      </c>
      <c r="F13" s="15" t="s">
        <v>33</v>
      </c>
      <c r="G13" s="11">
        <v>6430000</v>
      </c>
      <c r="H13" s="11">
        <f>G13*8%</f>
        <v>514400</v>
      </c>
      <c r="I13" s="11">
        <f>G13+H13</f>
        <v>6944400</v>
      </c>
    </row>
    <row r="14" spans="1:11">
      <c r="A14" s="6">
        <v>14</v>
      </c>
      <c r="B14" s="6" t="s">
        <v>24</v>
      </c>
      <c r="C14" s="6" t="s">
        <v>31</v>
      </c>
      <c r="D14" s="6" t="s">
        <v>32</v>
      </c>
      <c r="E14" s="6">
        <v>1</v>
      </c>
      <c r="F14" s="16" t="s">
        <v>34</v>
      </c>
      <c r="G14" s="17">
        <v>6430000</v>
      </c>
      <c r="H14" s="11">
        <f>G14*8%</f>
        <v>514400</v>
      </c>
      <c r="I14" s="11">
        <f>G14+H14</f>
        <v>6944400</v>
      </c>
    </row>
    <row r="15" spans="1:11">
      <c r="A15" s="6">
        <v>15</v>
      </c>
      <c r="B15" s="18" t="s">
        <v>9</v>
      </c>
      <c r="C15" s="6" t="s">
        <v>35</v>
      </c>
      <c r="D15" s="6" t="s">
        <v>36</v>
      </c>
      <c r="E15" s="19">
        <v>1</v>
      </c>
      <c r="F15" s="20" t="s">
        <v>37</v>
      </c>
      <c r="G15" s="11">
        <v>56000000</v>
      </c>
      <c r="H15" s="21">
        <f>G15*8%</f>
        <v>4480000</v>
      </c>
      <c r="I15" s="11">
        <f>G15+H15</f>
        <v>60480000</v>
      </c>
    </row>
    <row r="16" spans="1:11">
      <c r="A16" s="6">
        <v>16</v>
      </c>
      <c r="B16" s="18" t="s">
        <v>9</v>
      </c>
      <c r="C16" s="6" t="s">
        <v>38</v>
      </c>
      <c r="D16" s="22" t="s">
        <v>39</v>
      </c>
      <c r="E16" s="23">
        <v>1</v>
      </c>
      <c r="F16" s="24" t="s">
        <v>40</v>
      </c>
      <c r="G16" s="25"/>
      <c r="H16" s="11"/>
      <c r="I16" s="11"/>
    </row>
    <row r="17" spans="1:9">
      <c r="A17" s="6">
        <v>17</v>
      </c>
      <c r="B17" s="18" t="s">
        <v>9</v>
      </c>
      <c r="C17" s="6" t="s">
        <v>38</v>
      </c>
      <c r="D17" s="22" t="s">
        <v>39</v>
      </c>
      <c r="E17" s="23">
        <v>1</v>
      </c>
      <c r="F17" s="10" t="s">
        <v>41</v>
      </c>
      <c r="G17" s="26"/>
      <c r="H17" s="11"/>
      <c r="I17" s="11"/>
    </row>
    <row r="18" spans="1:9">
      <c r="A18" s="6">
        <v>18</v>
      </c>
      <c r="B18" s="18" t="s">
        <v>9</v>
      </c>
      <c r="C18" s="6" t="s">
        <v>38</v>
      </c>
      <c r="D18" s="22" t="s">
        <v>42</v>
      </c>
      <c r="E18" s="23">
        <v>1</v>
      </c>
      <c r="F18" s="10" t="s">
        <v>43</v>
      </c>
      <c r="G18" s="26"/>
      <c r="H18" s="11"/>
      <c r="I18" s="11"/>
    </row>
    <row r="19" spans="1:9">
      <c r="A19" s="6">
        <v>19</v>
      </c>
      <c r="B19" s="18" t="s">
        <v>9</v>
      </c>
      <c r="C19" s="6" t="s">
        <v>44</v>
      </c>
      <c r="D19" s="23" t="s">
        <v>44</v>
      </c>
      <c r="E19" s="23">
        <v>3</v>
      </c>
      <c r="F19" s="14"/>
      <c r="G19" s="11"/>
      <c r="H19" s="11"/>
      <c r="I19" s="11"/>
    </row>
    <row r="20" spans="1:9">
      <c r="A20" s="6">
        <v>20</v>
      </c>
      <c r="B20" s="18" t="s">
        <v>9</v>
      </c>
      <c r="C20" s="6" t="s">
        <v>45</v>
      </c>
      <c r="D20" s="23" t="s">
        <v>45</v>
      </c>
      <c r="E20" s="23">
        <v>3</v>
      </c>
      <c r="F20" s="14"/>
      <c r="G20" s="11"/>
      <c r="H20" s="11"/>
      <c r="I20" s="11"/>
    </row>
    <row r="21" spans="1:9">
      <c r="A21" s="6">
        <v>21</v>
      </c>
      <c r="B21" s="18" t="s">
        <v>9</v>
      </c>
      <c r="C21" s="6" t="s">
        <v>46</v>
      </c>
      <c r="D21" s="23" t="s">
        <v>47</v>
      </c>
      <c r="E21" s="23">
        <v>1</v>
      </c>
      <c r="F21" s="10" t="s">
        <v>48</v>
      </c>
      <c r="G21" s="26"/>
      <c r="H21" s="11"/>
      <c r="I21" s="11"/>
    </row>
    <row r="22" spans="1:9">
      <c r="A22" s="6">
        <v>22</v>
      </c>
      <c r="B22" s="18" t="s">
        <v>9</v>
      </c>
      <c r="C22" s="6" t="s">
        <v>46</v>
      </c>
      <c r="D22" s="23" t="s">
        <v>47</v>
      </c>
      <c r="E22" s="23">
        <v>1</v>
      </c>
      <c r="F22" s="10" t="s">
        <v>49</v>
      </c>
      <c r="G22" s="26"/>
      <c r="H22" s="11"/>
      <c r="I22" s="11"/>
    </row>
    <row r="23" spans="1:9">
      <c r="A23" s="6">
        <v>23</v>
      </c>
      <c r="B23" s="18" t="s">
        <v>9</v>
      </c>
      <c r="C23" s="6" t="s">
        <v>50</v>
      </c>
      <c r="D23" s="23" t="s">
        <v>50</v>
      </c>
      <c r="E23" s="23">
        <v>1</v>
      </c>
      <c r="F23" s="10" t="s">
        <v>51</v>
      </c>
      <c r="G23" s="26"/>
      <c r="H23" s="11"/>
      <c r="I23" s="11"/>
    </row>
    <row r="24" spans="1:9">
      <c r="A24" s="6">
        <v>24</v>
      </c>
      <c r="B24" s="18" t="s">
        <v>9</v>
      </c>
      <c r="C24" s="6" t="s">
        <v>50</v>
      </c>
      <c r="D24" s="23" t="s">
        <v>50</v>
      </c>
      <c r="E24" s="23">
        <v>1</v>
      </c>
      <c r="F24" s="10" t="s">
        <v>52</v>
      </c>
      <c r="G24" s="26"/>
      <c r="H24" s="11"/>
      <c r="I24" s="11"/>
    </row>
    <row r="25" spans="1:9">
      <c r="A25" s="6">
        <v>25</v>
      </c>
      <c r="B25" s="18" t="s">
        <v>9</v>
      </c>
      <c r="C25" s="6" t="s">
        <v>53</v>
      </c>
      <c r="D25" s="23" t="s">
        <v>54</v>
      </c>
      <c r="E25" s="23">
        <v>1</v>
      </c>
      <c r="F25" s="10" t="s">
        <v>55</v>
      </c>
      <c r="G25" s="26"/>
      <c r="H25" s="11"/>
      <c r="I25" s="11"/>
    </row>
    <row r="26" spans="1:9">
      <c r="A26" s="6">
        <v>26</v>
      </c>
      <c r="B26" s="18" t="s">
        <v>9</v>
      </c>
      <c r="C26" s="6" t="s">
        <v>53</v>
      </c>
      <c r="D26" s="23" t="s">
        <v>54</v>
      </c>
      <c r="E26" s="23">
        <v>1</v>
      </c>
      <c r="F26" s="10" t="s">
        <v>56</v>
      </c>
      <c r="G26" s="26"/>
      <c r="H26" s="11"/>
      <c r="I26" s="11"/>
    </row>
    <row r="27" spans="1:9">
      <c r="A27" s="6">
        <v>27</v>
      </c>
      <c r="B27" s="18" t="s">
        <v>9</v>
      </c>
      <c r="C27" s="6" t="s">
        <v>57</v>
      </c>
      <c r="D27" s="22" t="s">
        <v>58</v>
      </c>
      <c r="E27" s="23">
        <v>1</v>
      </c>
      <c r="F27" s="10" t="s">
        <v>59</v>
      </c>
      <c r="G27" s="26"/>
      <c r="H27" s="11"/>
      <c r="I27" s="11"/>
    </row>
    <row r="28" spans="1:9">
      <c r="A28" s="6">
        <v>28</v>
      </c>
      <c r="B28" s="18" t="s">
        <v>9</v>
      </c>
      <c r="C28" s="6" t="s">
        <v>57</v>
      </c>
      <c r="D28" s="27" t="s">
        <v>60</v>
      </c>
      <c r="E28" s="23">
        <v>1</v>
      </c>
      <c r="F28" s="10" t="s">
        <v>61</v>
      </c>
      <c r="G28" s="26"/>
      <c r="H28" s="11"/>
      <c r="I28" s="11"/>
    </row>
    <row r="29" spans="1:9">
      <c r="A29" s="6">
        <v>29</v>
      </c>
      <c r="B29" s="18" t="s">
        <v>62</v>
      </c>
      <c r="C29" s="6" t="s">
        <v>63</v>
      </c>
      <c r="D29" s="6" t="s">
        <v>64</v>
      </c>
      <c r="E29" s="6">
        <v>1</v>
      </c>
      <c r="F29" s="14" t="s">
        <v>65</v>
      </c>
      <c r="G29" s="26"/>
      <c r="H29" s="11"/>
      <c r="I29" s="11"/>
    </row>
    <row r="30" spans="1:9">
      <c r="A30" s="6">
        <v>30</v>
      </c>
      <c r="B30" s="18" t="s">
        <v>9</v>
      </c>
      <c r="C30" s="6" t="s">
        <v>66</v>
      </c>
      <c r="D30" s="6" t="s">
        <v>67</v>
      </c>
      <c r="E30" s="6">
        <v>1</v>
      </c>
      <c r="F30" s="14" t="s">
        <v>68</v>
      </c>
      <c r="G30" s="26"/>
      <c r="H30" s="11"/>
      <c r="I30" s="11"/>
    </row>
    <row r="31" spans="1:9">
      <c r="A31" s="6">
        <v>31</v>
      </c>
      <c r="B31" s="18" t="s">
        <v>9</v>
      </c>
      <c r="C31" s="6" t="s">
        <v>69</v>
      </c>
      <c r="D31" s="6" t="s">
        <v>70</v>
      </c>
      <c r="E31" s="6">
        <v>1</v>
      </c>
      <c r="F31" s="14" t="s">
        <v>71</v>
      </c>
      <c r="G31" s="26"/>
      <c r="H31" s="11"/>
      <c r="I31" s="11"/>
    </row>
    <row r="32" spans="1:9">
      <c r="A32" s="6">
        <v>32</v>
      </c>
      <c r="B32" s="6" t="s">
        <v>14</v>
      </c>
      <c r="C32" s="6" t="s">
        <v>72</v>
      </c>
      <c r="D32" s="6" t="s">
        <v>73</v>
      </c>
      <c r="E32" s="6">
        <v>1</v>
      </c>
      <c r="F32" s="14" t="s">
        <v>74</v>
      </c>
      <c r="G32" s="11">
        <v>29700000</v>
      </c>
      <c r="H32" s="11">
        <f>G32*8%</f>
        <v>2376000</v>
      </c>
      <c r="I32" s="11">
        <f>G32+H32</f>
        <v>32076000</v>
      </c>
    </row>
    <row r="33" spans="7:9">
      <c r="G33" s="11">
        <f>SUM(G2:G32)</f>
        <v>236597038</v>
      </c>
      <c r="H33" s="11">
        <f>SUM(H2:H32)</f>
        <v>18927763.039999999</v>
      </c>
      <c r="I33" s="11">
        <f>SUM(I2:I32)</f>
        <v>255524801.03999999</v>
      </c>
    </row>
  </sheetData>
  <autoFilter ref="A1:G33" xr:uid="{9CBE0138-D6BF-457A-A188-0657C8F0FB72}"/>
  <pageMargins left="0.7" right="0.7" top="0.75" bottom="0.75" header="0.3" footer="0.3"/>
  <pageSetup paperSize="124" orientation="portrait" horizontalDpi="203" verticalDpi="20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Qu_x00e2_n xmlns="ba4bef4e-04b8-4aaa-bbe8-a9e6513961dd">
      <UserInfo>
        <DisplayName/>
        <AccountId xsi:nil="true"/>
        <AccountType/>
      </UserInfo>
    </Qu_x00e2_n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SentBy xmlns="ba4bef4e-04b8-4aaa-bbe8-a9e6513961dd">
      <UserInfo>
        <DisplayName/>
        <AccountId xsi:nil="true"/>
        <AccountType/>
      </UserInfo>
    </_ApprovalSent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B8A2A6-CA0A-46B5-8262-007E3EEA5B86}"/>
</file>

<file path=customXml/itemProps2.xml><?xml version="1.0" encoding="utf-8"?>
<ds:datastoreItem xmlns:ds="http://schemas.openxmlformats.org/officeDocument/2006/customXml" ds:itemID="{29DC2CDD-200B-41F1-AFC4-675FFB540A10}"/>
</file>

<file path=customXml/itemProps3.xml><?xml version="1.0" encoding="utf-8"?>
<ds:datastoreItem xmlns:ds="http://schemas.openxmlformats.org/officeDocument/2006/customXml" ds:itemID="{B7046477-982C-4A00-A708-8D6D15ACED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Tran Thanh Nguyen</cp:lastModifiedBy>
  <cp:revision/>
  <dcterms:created xsi:type="dcterms:W3CDTF">2026-06-16T03:27:15Z</dcterms:created>
  <dcterms:modified xsi:type="dcterms:W3CDTF">2026-06-18T03:06:46Z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